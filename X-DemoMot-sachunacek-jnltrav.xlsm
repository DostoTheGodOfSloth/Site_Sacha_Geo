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UwAmp - PHP8\www\DemoMot2021\"/>
    </mc:Choice>
  </mc:AlternateContent>
  <bookViews>
    <workbookView xWindow="0" yWindow="0" windowWidth="21570" windowHeight="8085" firstSheet="5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155" l="1"/>
  <c r="D20" i="155" s="1"/>
  <c r="B37" i="155"/>
  <c r="B18" i="155"/>
  <c r="B18" i="154" l="1"/>
  <c r="B13" i="11" l="1"/>
</calcChain>
</file>

<file path=xl/sharedStrings.xml><?xml version="1.0" encoding="utf-8"?>
<sst xmlns="http://schemas.openxmlformats.org/spreadsheetml/2006/main" count="74" uniqueCount="47">
  <si>
    <t>Module :</t>
  </si>
  <si>
    <t>DemoMot</t>
  </si>
  <si>
    <t>Prénom - nom :</t>
  </si>
  <si>
    <t>Florian Tauxe</t>
  </si>
  <si>
    <t>Classe :</t>
  </si>
  <si>
    <t>CIN2B</t>
  </si>
  <si>
    <t>Lieu :</t>
  </si>
  <si>
    <t>ETML, Lausanne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</si>
  <si>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</si>
  <si>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</si>
  <si>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</si>
  <si>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</si>
  <si>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</si>
  <si>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</si>
  <si>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</si>
  <si>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</si>
  <si>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</si>
  <si>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Journal de travail</t>
  </si>
  <si>
    <t>Page d'accueil</t>
  </si>
  <si>
    <t>Page de contact</t>
  </si>
  <si>
    <t>Page de liste des quiz</t>
  </si>
  <si>
    <t>Création du script d'insertion de données</t>
  </si>
  <si>
    <t>Création du script de la base de données</t>
  </si>
  <si>
    <t>Choix du bootstrap</t>
  </si>
  <si>
    <t>Préparation du cahier des charges</t>
  </si>
  <si>
    <t>Création des fonctions en PHP</t>
  </si>
  <si>
    <t>Présentation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</si>
  <si>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</si>
  <si>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</si>
  <si>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</si>
  <si>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</si>
  <si>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</si>
  <si>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</si>
  <si>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</si>
  <si>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</si>
  <si>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</si>
  <si>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</si>
  <si>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</si>
  <si>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Si le temps le permet</t>
  </si>
  <si>
    <t>Max. 75</t>
  </si>
  <si>
    <t>STOP</t>
  </si>
  <si>
    <t>J'ai choisi un template bootstrap et je l'ai implémenté</t>
  </si>
  <si>
    <t>J'ai rempli mon journal de travail</t>
  </si>
  <si>
    <t>Ajout des fonctionnalitées supplémentaires
Lundi : mode entraînement changement léger du CSS et ajout de quiz(ex: cantons suisse) et modification de la base de données(ex: t_canton) 
Mardi: ajout du classement et changement léger du CSS et la connexion et la création de compte et vérification du mot de passe et des utilisateurs
Mercredi : ajout d'un timer par quiz et modification de la page contact</t>
  </si>
  <si>
    <t>lundi : création du premier jet de la page d'accueil</t>
  </si>
  <si>
    <t>Mardi et mercredi : ajout de tous les quiz et insertion dans la base de données des données des quiz et création dynamique des quiz</t>
  </si>
  <si>
    <t>Ajout des fonctionnalitées supplémentaires
Vendredi : ajout des pages de connexion et de création de compte et modification du CSS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</si>
</sst>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Alignment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4" zoomScaleNormal="100" zoomScaleSheetLayoutView="100" workbookViewId="0">
      <selection activeCell="C31" sqref="C3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1</v>
      </c>
      <c r="D3" s="60"/>
      <c r="E3" s="60"/>
      <c r="F3" s="60"/>
      <c r="G3" s="61"/>
    </row>
    <row r="4" spans="1:7" ht="20.25" x14ac:dyDescent="0.25">
      <c r="A4" s="59"/>
      <c r="B4" s="64" t="s">
        <v>2</v>
      </c>
      <c r="C4" s="65" t="s">
        <v>3</v>
      </c>
      <c r="D4" s="60"/>
      <c r="E4" s="60"/>
      <c r="F4" s="60"/>
      <c r="G4" s="61"/>
    </row>
    <row r="5" spans="1:7" ht="20.25" x14ac:dyDescent="0.25">
      <c r="A5" s="59"/>
      <c r="B5" s="64" t="s">
        <v>4</v>
      </c>
      <c r="C5" s="65" t="s">
        <v>5</v>
      </c>
      <c r="D5" s="60"/>
      <c r="E5" s="60"/>
      <c r="F5" s="60"/>
      <c r="G5" s="61"/>
    </row>
    <row r="6" spans="1:7" ht="21" thickBot="1" x14ac:dyDescent="0.3">
      <c r="A6" s="59"/>
      <c r="B6" s="66" t="s">
        <v>6</v>
      </c>
      <c r="C6" s="67" t="s">
        <v>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>
        <v>44361</v>
      </c>
      <c r="D9" s="60"/>
      <c r="E9" s="60"/>
      <c r="F9" s="60"/>
      <c r="G9" s="61"/>
    </row>
    <row r="10" spans="1:7" ht="20.25" x14ac:dyDescent="0.25">
      <c r="A10" s="59"/>
      <c r="B10" s="69" t="s">
        <v>9</v>
      </c>
      <c r="C10" s="70">
        <v>44370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2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25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13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14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15</v>
      </c>
      <c r="C20" s="81" t="s">
        <v>16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17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18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19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20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21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22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23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24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25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26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2" r:id="rId9" name="btnCreateDiagram">
          <controlPr defaultSize="0" autoLine="0" r:id="rId10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9" name="btnCreateDiagra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27</v>
      </c>
      <c r="C2" s="15" t="s">
        <v>28</v>
      </c>
    </row>
    <row r="3" spans="1:4" ht="19.5" customHeight="1" x14ac:dyDescent="0.25">
      <c r="A3" s="19"/>
      <c r="B3" s="95" t="s">
        <v>16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29</v>
      </c>
      <c r="C3" s="27">
        <v>0</v>
      </c>
    </row>
    <row r="4" spans="2:3" ht="18.75" thickBot="1" x14ac:dyDescent="0.3">
      <c r="B4" s="26" t="s">
        <v>30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31</v>
      </c>
      <c r="B1" s="7">
        <v>1</v>
      </c>
      <c r="C1" s="17"/>
      <c r="D1" s="87"/>
    </row>
    <row r="2" spans="1:4" ht="27.75" thickBot="1" x14ac:dyDescent="0.3">
      <c r="A2" s="8" t="s">
        <v>32</v>
      </c>
      <c r="B2" s="18" t="s">
        <v>33</v>
      </c>
      <c r="C2" s="8" t="s">
        <v>34</v>
      </c>
      <c r="D2" s="8" t="s">
        <v>35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36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31</v>
      </c>
      <c r="B1" s="44">
        <v>1</v>
      </c>
      <c r="C1" s="45" t="s">
        <v>37</v>
      </c>
      <c r="D1" s="54"/>
    </row>
    <row r="2" spans="1:4" ht="27.75" thickBot="1" x14ac:dyDescent="0.3">
      <c r="A2" s="46" t="s">
        <v>32</v>
      </c>
      <c r="B2" s="47" t="s">
        <v>33</v>
      </c>
      <c r="C2" s="46" t="s">
        <v>34</v>
      </c>
      <c r="D2" s="46" t="s">
        <v>35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36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9"/>
  <sheetViews>
    <sheetView tabSelected="1" zoomScale="115" zoomScaleNormal="115" workbookViewId="0">
      <selection activeCell="C6" sqref="C6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31</v>
      </c>
      <c r="B1" s="44">
        <v>1</v>
      </c>
      <c r="C1" s="45" t="s">
        <v>37</v>
      </c>
      <c r="D1" s="54">
        <f>Donnees!$C$9</f>
        <v>44361</v>
      </c>
    </row>
    <row r="2" spans="1:4" ht="27.75" thickBot="1" x14ac:dyDescent="0.3">
      <c r="A2" s="46" t="s">
        <v>32</v>
      </c>
      <c r="B2" s="47" t="s">
        <v>33</v>
      </c>
      <c r="C2" s="46" t="s">
        <v>34</v>
      </c>
      <c r="D2" s="46" t="s">
        <v>35</v>
      </c>
    </row>
    <row r="3" spans="1:4" s="53" customFormat="1" x14ac:dyDescent="0.25">
      <c r="A3" s="5" t="s">
        <v>23</v>
      </c>
      <c r="B3" s="4">
        <v>10</v>
      </c>
      <c r="C3" s="90" t="s">
        <v>41</v>
      </c>
      <c r="D3" s="9"/>
    </row>
    <row r="4" spans="1:4" s="53" customFormat="1" x14ac:dyDescent="0.25">
      <c r="A4" s="1" t="s">
        <v>18</v>
      </c>
      <c r="B4" s="2">
        <v>16</v>
      </c>
      <c r="C4" s="91" t="s">
        <v>44</v>
      </c>
      <c r="D4" s="10"/>
    </row>
    <row r="5" spans="1:4" s="53" customFormat="1" ht="27" x14ac:dyDescent="0.25">
      <c r="A5" s="1" t="s">
        <v>20</v>
      </c>
      <c r="B5" s="2">
        <v>24</v>
      </c>
      <c r="C5" s="91" t="s">
        <v>45</v>
      </c>
      <c r="D5" s="10"/>
    </row>
    <row r="6" spans="1:4" s="53" customFormat="1" ht="40.5" x14ac:dyDescent="0.25">
      <c r="A6" s="92" t="s">
        <v>38</v>
      </c>
      <c r="B6" s="2">
        <v>15</v>
      </c>
      <c r="C6" s="91" t="s">
        <v>46</v>
      </c>
      <c r="D6" s="10"/>
    </row>
    <row r="7" spans="1:4" s="53" customFormat="1" x14ac:dyDescent="0.25">
      <c r="B7" s="2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36</v>
      </c>
      <c r="B18" s="48">
        <f>SUM(B3:B17)</f>
        <v>65</v>
      </c>
      <c r="C18" s="88" t="s">
        <v>39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31</v>
      </c>
      <c r="B20" s="44">
        <v>2</v>
      </c>
      <c r="C20" s="45" t="s">
        <v>37</v>
      </c>
      <c r="D20" s="54">
        <f>$D$1+7</f>
        <v>44368</v>
      </c>
    </row>
    <row r="21" spans="1:9" ht="27.75" thickBot="1" x14ac:dyDescent="0.3">
      <c r="A21" s="46" t="s">
        <v>32</v>
      </c>
      <c r="B21" s="47" t="s">
        <v>33</v>
      </c>
      <c r="C21" s="46" t="s">
        <v>34</v>
      </c>
      <c r="D21" s="46" t="s">
        <v>35</v>
      </c>
    </row>
    <row r="22" spans="1:9" ht="81" x14ac:dyDescent="0.25">
      <c r="A22" s="92" t="s">
        <v>38</v>
      </c>
      <c r="B22" s="4">
        <v>72</v>
      </c>
      <c r="C22" s="90" t="s">
        <v>43</v>
      </c>
      <c r="D22" s="9"/>
    </row>
    <row r="23" spans="1:9" x14ac:dyDescent="0.25">
      <c r="A23" s="1" t="s">
        <v>17</v>
      </c>
      <c r="B23" s="2">
        <v>3</v>
      </c>
      <c r="C23" s="91" t="s">
        <v>42</v>
      </c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36</v>
      </c>
      <c r="B37" s="48">
        <f>SUM(B22:B36)</f>
        <v>75</v>
      </c>
      <c r="C37" s="88" t="s">
        <v>39</v>
      </c>
      <c r="D37" s="49"/>
      <c r="E37" s="20"/>
      <c r="F37" s="20"/>
      <c r="G37" s="20"/>
      <c r="H37" s="20"/>
      <c r="I37" s="20"/>
    </row>
    <row r="38" spans="1:9" ht="14.25" x14ac:dyDescent="0.3">
      <c r="A38" s="50"/>
      <c r="B38" s="50"/>
      <c r="C38" s="50"/>
      <c r="D38" s="50"/>
      <c r="E38" s="20"/>
      <c r="F38" s="20"/>
      <c r="G38" s="20"/>
      <c r="H38" s="20"/>
      <c r="I38" s="20"/>
    </row>
    <row r="39" spans="1:9" x14ac:dyDescent="0.25">
      <c r="A39" s="89" t="s">
        <v>40</v>
      </c>
      <c r="E39" s="20"/>
      <c r="F39" s="20"/>
      <c r="G39" s="20"/>
      <c r="H39" s="20"/>
      <c r="I39" s="20"/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">
      <formula1>0</formula1>
      <formula2>NbPerWeek * NbQuartPer</formula2>
    </dataValidation>
    <dataValidation type="list" allowBlank="1" showInputMessage="1" showErrorMessage="1" sqref="A22:A36 A3:A6 A8:A17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Florian Tauxe</dc:creator>
  <cp:keywords/>
  <dc:description/>
  <cp:lastModifiedBy>Sacha Hunacek</cp:lastModifiedBy>
  <cp:revision/>
  <dcterms:created xsi:type="dcterms:W3CDTF">1996-10-21T11:03:58Z</dcterms:created>
  <dcterms:modified xsi:type="dcterms:W3CDTF">2021-06-23T09:12:17Z</dcterms:modified>
  <cp:category/>
  <cp:contentStatus/>
</cp:coreProperties>
</file>